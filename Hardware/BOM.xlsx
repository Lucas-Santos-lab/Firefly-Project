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OM" sheetId="1" state="visible" r:id="rId3"/>
    <sheet name="Assumption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Arial"/>
            <family val="2"/>
          </rPr>
          <t xml:space="preserve">Edit unit prices (blue). Subtotals and BRL columns are formulas.</t>
        </r>
      </text>
    </comment>
  </commentList>
</comments>
</file>

<file path=xl/sharedStrings.xml><?xml version="1.0" encoding="utf-8"?>
<sst xmlns="http://schemas.openxmlformats.org/spreadsheetml/2006/main" count="70" uniqueCount="67">
  <si>
    <t xml:space="preserve">Firefly Project — Bill of Materials (DJI F330 + Naza-M Lite)</t>
  </si>
  <si>
    <t xml:space="preserve">Estimated prices. BRL = USD × exchange rate × Brazil market factor (see Assumptions sheet).</t>
  </si>
  <si>
    <t xml:space="preserve">#</t>
  </si>
  <si>
    <t xml:space="preserve">Group</t>
  </si>
  <si>
    <t xml:space="preserve">Component</t>
  </si>
  <si>
    <t xml:space="preserve">Specification</t>
  </si>
  <si>
    <t xml:space="preserve">Qty</t>
  </si>
  <si>
    <t xml:space="preserve">Unit price (USD)</t>
  </si>
  <si>
    <t xml:space="preserve">Subtotal (USD)</t>
  </si>
  <si>
    <t xml:space="preserve">Unit price (BRL)</t>
  </si>
  <si>
    <t xml:space="preserve">Subtotal (BRL)</t>
  </si>
  <si>
    <t xml:space="preserve">Source / notes</t>
  </si>
  <si>
    <t xml:space="preserve">Aircraft</t>
  </si>
  <si>
    <t xml:space="preserve">Frame</t>
  </si>
  <si>
    <t xml:space="preserve">DJI F330 (Quad X), clone</t>
  </si>
  <si>
    <t xml:space="preserve">330 mm wheelbase, PDB integrated in bottom plate</t>
  </si>
  <si>
    <t xml:space="preserve">Estimate. Original DJI F330 discontinued; clone kits typical.</t>
  </si>
  <si>
    <t xml:space="preserve">Flight controller</t>
  </si>
  <si>
    <t xml:space="preserve">DJI Naza-M Lite</t>
  </si>
  <si>
    <t xml:space="preserve">Main controller + PMU + LED module</t>
  </si>
  <si>
    <t xml:space="preserve">GetFPV list price (out of stock on 2026-10-08). Discontinued; used market varies.</t>
  </si>
  <si>
    <t xml:space="preserve">Motors</t>
  </si>
  <si>
    <t xml:space="preserve">Brushless 2212 920KV</t>
  </si>
  <si>
    <t xml:space="preserve">CW/CCW, 3S</t>
  </si>
  <si>
    <t xml:space="preserve">Estimate, generic A2212 920KV.</t>
  </si>
  <si>
    <t xml:space="preserve">ESCs</t>
  </si>
  <si>
    <t xml:space="preserve">EMAX SimonK 30A</t>
  </si>
  <si>
    <t xml:space="preserve">2-4S, linear BEC 2A/5V</t>
  </si>
  <si>
    <t xml:space="preserve">Estimate. Rating per EMAX SimonK datasheet in Hardware/datasheets.</t>
  </si>
  <si>
    <t xml:space="preserve">Radio</t>
  </si>
  <si>
    <t xml:space="preserve">HotRC HT-10A 2.4 GHz</t>
  </si>
  <si>
    <t xml:space="preserve">10-channel transmitter + receiver</t>
  </si>
  <si>
    <t xml:space="preserve">Estimate.</t>
  </si>
  <si>
    <t xml:space="preserve">Propellers</t>
  </si>
  <si>
    <t xml:space="preserve">8045 CW/CCW</t>
  </si>
  <si>
    <t xml:space="preserve">Plastic, 8 in, sets of 1 CW + 1 CCW</t>
  </si>
  <si>
    <t xml:space="preserve">Estimate. 2 pairs mounted + 2 spare pairs. Prop size not confirmed on the aircraft.</t>
  </si>
  <si>
    <t xml:space="preserve">Battery</t>
  </si>
  <si>
    <t xml:space="preserve">LiPo 3S 2200 mAh 25C+</t>
  </si>
  <si>
    <t xml:space="preserve">XT60 or T-plug</t>
  </si>
  <si>
    <t xml:space="preserve">Estimate. ASSUMPTION: battery spec not documented; update to actual cells/capacity.</t>
  </si>
  <si>
    <t xml:space="preserve">Aircraft subtotal</t>
  </si>
  <si>
    <t xml:space="preserve">Tools and support equipment</t>
  </si>
  <si>
    <t xml:space="preserve">Tools</t>
  </si>
  <si>
    <t xml:space="preserve">LiPo balance charger</t>
  </si>
  <si>
    <t xml:space="preserve">IMAX B6 class, 1-6S</t>
  </si>
  <si>
    <t xml:space="preserve">LiPo cell checker</t>
  </si>
  <si>
    <t xml:space="preserve">1-8S voltage display/alarm</t>
  </si>
  <si>
    <t xml:space="preserve">Estimate. Used in component verification.</t>
  </si>
  <si>
    <t xml:space="preserve">Servo / ESC tester</t>
  </si>
  <si>
    <t xml:space="preserve">PWM 1000-2000 µs</t>
  </si>
  <si>
    <t xml:space="preserve">Estimate. Used in motor/ESC verification.</t>
  </si>
  <si>
    <t xml:space="preserve">Tools subtotal</t>
  </si>
  <si>
    <t xml:space="preserve">TOTAL</t>
  </si>
  <si>
    <t xml:space="preserve">Firefly Project — BOM assumptions</t>
  </si>
  <si>
    <t xml:space="preserve">Parameter</t>
  </si>
  <si>
    <t xml:space="preserve">Value</t>
  </si>
  <si>
    <t xml:space="preserve">Notes</t>
  </si>
  <si>
    <t xml:space="preserve">USD/BRL exchange rate</t>
  </si>
  <si>
    <t xml:space="preserve">Commercial rate on 2026-10-07 15:45 (renovainvest.com.br/dolar-hoje). Update before use.</t>
  </si>
  <si>
    <t xml:space="preserve">Brazil market factor</t>
  </si>
  <si>
    <t xml:space="preserve">Multiplier over the converted USD price to approximate the Brazilian retail price (import tax, ICMS, shipping, reseller margin). Estimate; adjust to quotes from Mercado Livre or local stores.</t>
  </si>
  <si>
    <t xml:space="preserve">Price reference date</t>
  </si>
  <si>
    <t xml:space="preserve">2026-10-08</t>
  </si>
  <si>
    <t xml:space="preserve">USD prices are typical US retail values for generic/clone parts unless the Source column says otherwise.</t>
  </si>
  <si>
    <t xml:space="preserve">Legend</t>
  </si>
  <si>
    <t xml:space="preserve">Blue text on yellow fill = editable input. Black = formula. Green = link to this sheet.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</si>
</sst>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US$ &quot;#,##0.00;&quot;(US$ &quot;#,##0.00\);\-"/>
    <numFmt numFmtId="166" formatCode="&quot;R$ &quot;#,##0.00;&quot;(R$ &quot;#,##0.00\);\-"/>
    <numFmt numFmtId="167" formatCode="0.0000"/>
    <numFmt numFmtId="168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2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6"/>
    <col collapsed="false" customWidth="true" hidden="false" outlineLevel="0" max="9" min="6" style="0" width="14"/>
    <col collapsed="false" customWidth="true" hidden="false" outlineLevel="0" max="10" min="10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/>
      <c r="C5" s="4"/>
      <c r="D5" s="4"/>
      <c r="E5" s="4"/>
      <c r="F5" s="4"/>
      <c r="G5" s="4"/>
      <c r="H5" s="4"/>
      <c r="I5" s="4"/>
      <c r="J5" s="4"/>
    </row>
    <row r="6" customFormat="false" ht="26.85" hidden="false" customHeight="false" outlineLevel="0" collapsed="false">
      <c r="A6" s="5" t="n">
        <v>1</v>
      </c>
      <c r="B6" s="5" t="s">
        <v>13</v>
      </c>
      <c r="C6" s="5" t="s">
        <v>14</v>
      </c>
      <c r="D6" s="5" t="s">
        <v>15</v>
      </c>
      <c r="E6" s="6" t="n">
        <v>1</v>
      </c>
      <c r="F6" s="7" t="n">
        <v>15</v>
      </c>
      <c r="G6" s="8" t="n">
        <f aca="false">E6*F6</f>
        <v>15</v>
      </c>
      <c r="H6" s="9" t="n">
        <f aca="false">F6*Assumptions!$B$4*Assumptions!$B$5</f>
        <v>135.0756</v>
      </c>
      <c r="I6" s="10" t="n">
        <f aca="false">E6*H6</f>
        <v>135.0756</v>
      </c>
      <c r="J6" s="5" t="s">
        <v>16</v>
      </c>
    </row>
    <row r="7" customFormat="false" ht="26.85" hidden="false" customHeight="false" outlineLevel="0" collapsed="false">
      <c r="A7" s="5" t="n">
        <v>2</v>
      </c>
      <c r="B7" s="5" t="s">
        <v>17</v>
      </c>
      <c r="C7" s="5" t="s">
        <v>18</v>
      </c>
      <c r="D7" s="5" t="s">
        <v>19</v>
      </c>
      <c r="E7" s="6" t="n">
        <v>1</v>
      </c>
      <c r="F7" s="7" t="n">
        <v>38.99</v>
      </c>
      <c r="G7" s="8" t="n">
        <f aca="false">E7*F7</f>
        <v>38.99</v>
      </c>
      <c r="H7" s="9" t="n">
        <f aca="false">F7*Assumptions!$B$4*Assumptions!$B$5</f>
        <v>351.1065096</v>
      </c>
      <c r="I7" s="10" t="n">
        <f aca="false">E7*H7</f>
        <v>351.1065096</v>
      </c>
      <c r="J7" s="5" t="s">
        <v>20</v>
      </c>
    </row>
    <row r="8" customFormat="false" ht="15" hidden="false" customHeight="false" outlineLevel="0" collapsed="false">
      <c r="A8" s="5" t="n">
        <v>3</v>
      </c>
      <c r="B8" s="5" t="s">
        <v>21</v>
      </c>
      <c r="C8" s="5" t="s">
        <v>22</v>
      </c>
      <c r="D8" s="5" t="s">
        <v>23</v>
      </c>
      <c r="E8" s="6" t="n">
        <v>4</v>
      </c>
      <c r="F8" s="7" t="n">
        <v>9</v>
      </c>
      <c r="G8" s="8" t="n">
        <f aca="false">E8*F8</f>
        <v>36</v>
      </c>
      <c r="H8" s="9" t="n">
        <f aca="false">F8*Assumptions!$B$4*Assumptions!$B$5</f>
        <v>81.04536</v>
      </c>
      <c r="I8" s="10" t="n">
        <f aca="false">E8*H8</f>
        <v>324.18144</v>
      </c>
      <c r="J8" s="5" t="s">
        <v>24</v>
      </c>
    </row>
    <row r="9" customFormat="false" ht="26.85" hidden="false" customHeight="false" outlineLevel="0" collapsed="false">
      <c r="A9" s="5" t="n">
        <v>4</v>
      </c>
      <c r="B9" s="5" t="s">
        <v>25</v>
      </c>
      <c r="C9" s="5" t="s">
        <v>26</v>
      </c>
      <c r="D9" s="5" t="s">
        <v>27</v>
      </c>
      <c r="E9" s="6" t="n">
        <v>4</v>
      </c>
      <c r="F9" s="7" t="n">
        <v>12</v>
      </c>
      <c r="G9" s="8" t="n">
        <f aca="false">E9*F9</f>
        <v>48</v>
      </c>
      <c r="H9" s="9" t="n">
        <f aca="false">F9*Assumptions!$B$4*Assumptions!$B$5</f>
        <v>108.06048</v>
      </c>
      <c r="I9" s="10" t="n">
        <f aca="false">E9*H9</f>
        <v>432.24192</v>
      </c>
      <c r="J9" s="5" t="s">
        <v>28</v>
      </c>
    </row>
    <row r="10" customFormat="false" ht="15" hidden="false" customHeight="false" outlineLevel="0" collapsed="false">
      <c r="A10" s="5" t="n">
        <v>5</v>
      </c>
      <c r="B10" s="5" t="s">
        <v>29</v>
      </c>
      <c r="C10" s="5" t="s">
        <v>30</v>
      </c>
      <c r="D10" s="5" t="s">
        <v>31</v>
      </c>
      <c r="E10" s="6" t="n">
        <v>1</v>
      </c>
      <c r="F10" s="7" t="n">
        <v>40</v>
      </c>
      <c r="G10" s="8" t="n">
        <f aca="false">E10*F10</f>
        <v>40</v>
      </c>
      <c r="H10" s="9" t="n">
        <f aca="false">F10*Assumptions!$B$4*Assumptions!$B$5</f>
        <v>360.2016</v>
      </c>
      <c r="I10" s="10" t="n">
        <f aca="false">E10*H10</f>
        <v>360.2016</v>
      </c>
      <c r="J10" s="5" t="s">
        <v>32</v>
      </c>
    </row>
    <row r="11" customFormat="false" ht="26.85" hidden="false" customHeight="false" outlineLevel="0" collapsed="false">
      <c r="A11" s="5" t="n">
        <v>6</v>
      </c>
      <c r="B11" s="5" t="s">
        <v>33</v>
      </c>
      <c r="C11" s="5" t="s">
        <v>34</v>
      </c>
      <c r="D11" s="5" t="s">
        <v>35</v>
      </c>
      <c r="E11" s="6" t="n">
        <v>4</v>
      </c>
      <c r="F11" s="7" t="n">
        <v>2</v>
      </c>
      <c r="G11" s="8" t="n">
        <f aca="false">E11*F11</f>
        <v>8</v>
      </c>
      <c r="H11" s="9" t="n">
        <f aca="false">F11*Assumptions!$B$4*Assumptions!$B$5</f>
        <v>18.01008</v>
      </c>
      <c r="I11" s="10" t="n">
        <f aca="false">E11*H11</f>
        <v>72.04032</v>
      </c>
      <c r="J11" s="5" t="s">
        <v>36</v>
      </c>
    </row>
    <row r="12" customFormat="false" ht="26.85" hidden="false" customHeight="false" outlineLevel="0" collapsed="false">
      <c r="A12" s="5" t="n">
        <v>7</v>
      </c>
      <c r="B12" s="5" t="s">
        <v>37</v>
      </c>
      <c r="C12" s="5" t="s">
        <v>38</v>
      </c>
      <c r="D12" s="5" t="s">
        <v>39</v>
      </c>
      <c r="E12" s="6" t="n">
        <v>1</v>
      </c>
      <c r="F12" s="7" t="n">
        <v>22</v>
      </c>
      <c r="G12" s="8" t="n">
        <f aca="false">E12*F12</f>
        <v>22</v>
      </c>
      <c r="H12" s="9" t="n">
        <f aca="false">F12*Assumptions!$B$4*Assumptions!$B$5</f>
        <v>198.11088</v>
      </c>
      <c r="I12" s="10" t="n">
        <f aca="false">E12*H12</f>
        <v>198.11088</v>
      </c>
      <c r="J12" s="5" t="s">
        <v>40</v>
      </c>
    </row>
    <row r="13" customFormat="false" ht="15" hidden="false" customHeight="false" outlineLevel="0" collapsed="false">
      <c r="C13" s="11" t="s">
        <v>41</v>
      </c>
      <c r="F13" s="12"/>
      <c r="G13" s="13" t="n">
        <f aca="false">SUM(G6:G12)</f>
        <v>207.99</v>
      </c>
      <c r="H13" s="14"/>
      <c r="I13" s="15" t="n">
        <f aca="false">SUM(I6:I12)</f>
        <v>1872.9582696</v>
      </c>
    </row>
    <row r="14" customFormat="false" ht="15" hidden="false" customHeight="false" outlineLevel="0" collapsed="false">
      <c r="F14" s="12"/>
      <c r="G14" s="12"/>
      <c r="H14" s="14"/>
      <c r="I14" s="14"/>
    </row>
    <row r="15" customFormat="false" ht="15" hidden="false" customHeight="false" outlineLevel="0" collapsed="false">
      <c r="A15" s="4" t="s">
        <v>42</v>
      </c>
      <c r="B15" s="4"/>
      <c r="C15" s="4"/>
      <c r="D15" s="4"/>
      <c r="E15" s="4"/>
      <c r="F15" s="4"/>
      <c r="G15" s="4"/>
      <c r="H15" s="4"/>
      <c r="I15" s="4"/>
      <c r="J15" s="4"/>
    </row>
    <row r="16" customFormat="false" ht="15" hidden="false" customHeight="false" outlineLevel="0" collapsed="false">
      <c r="A16" s="5" t="n">
        <v>8</v>
      </c>
      <c r="B16" s="5" t="s">
        <v>43</v>
      </c>
      <c r="C16" s="5" t="s">
        <v>44</v>
      </c>
      <c r="D16" s="5" t="s">
        <v>45</v>
      </c>
      <c r="E16" s="6" t="n">
        <v>1</v>
      </c>
      <c r="F16" s="7" t="n">
        <v>25</v>
      </c>
      <c r="G16" s="8" t="n">
        <f aca="false">E16*F16</f>
        <v>25</v>
      </c>
      <c r="H16" s="9" t="n">
        <f aca="false">F16*Assumptions!$B$4*Assumptions!$B$5</f>
        <v>225.126</v>
      </c>
      <c r="I16" s="10" t="n">
        <f aca="false">E16*H16</f>
        <v>225.126</v>
      </c>
      <c r="J16" s="5" t="s">
        <v>32</v>
      </c>
    </row>
    <row r="17" customFormat="false" ht="15" hidden="false" customHeight="false" outlineLevel="0" collapsed="false">
      <c r="A17" s="5" t="n">
        <v>9</v>
      </c>
      <c r="B17" s="5" t="s">
        <v>43</v>
      </c>
      <c r="C17" s="5" t="s">
        <v>46</v>
      </c>
      <c r="D17" s="5" t="s">
        <v>47</v>
      </c>
      <c r="E17" s="6" t="n">
        <v>1</v>
      </c>
      <c r="F17" s="7" t="n">
        <v>5</v>
      </c>
      <c r="G17" s="8" t="n">
        <f aca="false">E17*F17</f>
        <v>5</v>
      </c>
      <c r="H17" s="9" t="n">
        <f aca="false">F17*Assumptions!$B$4*Assumptions!$B$5</f>
        <v>45.0252</v>
      </c>
      <c r="I17" s="10" t="n">
        <f aca="false">E17*H17</f>
        <v>45.0252</v>
      </c>
      <c r="J17" s="5" t="s">
        <v>48</v>
      </c>
    </row>
    <row r="18" customFormat="false" ht="15" hidden="false" customHeight="false" outlineLevel="0" collapsed="false">
      <c r="A18" s="5" t="n">
        <v>10</v>
      </c>
      <c r="B18" s="5" t="s">
        <v>43</v>
      </c>
      <c r="C18" s="5" t="s">
        <v>49</v>
      </c>
      <c r="D18" s="5" t="s">
        <v>50</v>
      </c>
      <c r="E18" s="6" t="n">
        <v>1</v>
      </c>
      <c r="F18" s="7" t="n">
        <v>6</v>
      </c>
      <c r="G18" s="8" t="n">
        <f aca="false">E18*F18</f>
        <v>6</v>
      </c>
      <c r="H18" s="9" t="n">
        <f aca="false">F18*Assumptions!$B$4*Assumptions!$B$5</f>
        <v>54.03024</v>
      </c>
      <c r="I18" s="10" t="n">
        <f aca="false">E18*H18</f>
        <v>54.03024</v>
      </c>
      <c r="J18" s="5" t="s">
        <v>51</v>
      </c>
    </row>
    <row r="19" customFormat="false" ht="15" hidden="false" customHeight="false" outlineLevel="0" collapsed="false">
      <c r="C19" s="11" t="s">
        <v>52</v>
      </c>
      <c r="F19" s="12"/>
      <c r="G19" s="13" t="n">
        <f aca="false">SUM(G16:G18)</f>
        <v>36</v>
      </c>
      <c r="H19" s="14"/>
      <c r="I19" s="15" t="n">
        <f aca="false">SUM(I16:I18)</f>
        <v>324.18144</v>
      </c>
    </row>
    <row r="20" customFormat="false" ht="15" hidden="false" customHeight="false" outlineLevel="0" collapsed="false">
      <c r="F20" s="12"/>
      <c r="G20" s="12"/>
      <c r="H20" s="14"/>
      <c r="I20" s="14"/>
    </row>
    <row r="21" customFormat="false" ht="15" hidden="false" customHeight="false" outlineLevel="0" collapsed="false">
      <c r="C21" s="16" t="s">
        <v>53</v>
      </c>
      <c r="F21" s="12"/>
      <c r="G21" s="17" t="n">
        <f aca="false">G13+G19</f>
        <v>243.99</v>
      </c>
      <c r="H21" s="14"/>
      <c r="I21" s="18" t="n">
        <f aca="false">I13+I19</f>
        <v>2197.1397096</v>
      </c>
    </row>
  </sheetData>
  <mergeCells count="2">
    <mergeCell ref="A5:J5"/>
    <mergeCell ref="A15:J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4"/>
    <col collapsed="false" customWidth="true" hidden="false" outlineLevel="0" max="3" min="3" style="0" width="90"/>
  </cols>
  <sheetData>
    <row r="1" customFormat="false" ht="16.15" hidden="false" customHeight="false" outlineLevel="0" collapsed="false">
      <c r="A1" s="1" t="s">
        <v>54</v>
      </c>
    </row>
    <row r="3" customFormat="false" ht="15" hidden="false" customHeight="false" outlineLevel="0" collapsed="false">
      <c r="A3" s="19" t="s">
        <v>55</v>
      </c>
      <c r="B3" s="19" t="s">
        <v>56</v>
      </c>
      <c r="C3" s="19" t="s">
        <v>57</v>
      </c>
    </row>
    <row r="4" customFormat="false" ht="15" hidden="false" customHeight="false" outlineLevel="0" collapsed="false">
      <c r="A4" s="5" t="s">
        <v>58</v>
      </c>
      <c r="B4" s="20" t="n">
        <v>5.0028</v>
      </c>
      <c r="C4" s="5" t="s">
        <v>59</v>
      </c>
    </row>
    <row r="5" customFormat="false" ht="26.85" hidden="false" customHeight="false" outlineLevel="0" collapsed="false">
      <c r="A5" s="5" t="s">
        <v>60</v>
      </c>
      <c r="B5" s="21" t="n">
        <v>1.8</v>
      </c>
      <c r="C5" s="5" t="s">
        <v>61</v>
      </c>
    </row>
    <row r="6" customFormat="false" ht="26.85" hidden="false" customHeight="false" outlineLevel="0" collapsed="false">
      <c r="A6" s="5" t="s">
        <v>62</v>
      </c>
      <c r="B6" s="5" t="s">
        <v>63</v>
      </c>
      <c r="C6" s="5" t="s">
        <v>64</v>
      </c>
    </row>
    <row r="8" customFormat="false" ht="15" hidden="false" customHeight="false" outlineLevel="0" collapsed="false">
      <c r="A8" s="11" t="s">
        <v>65</v>
      </c>
    </row>
    <row r="9" customFormat="false" ht="15" hidden="false" customHeight="false" outlineLevel="0" collapsed="false">
      <c r="A9" s="22" t="s">
        <v>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2026-10-09T02:20:58Z</dcterms:created>
  <dc:creator>openpyxl</dc:creator>
  <dc:description/>
  <dc:language>en-US</dc:language>
  <cp:lastModifiedBy/>
  <dcterms:modified xsi:type="dcterms:W3CDTF">2026-10-09T02:20:58Z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